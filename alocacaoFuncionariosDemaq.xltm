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VITOR\Documents\_projetos\excel\macros\gesetaoFuncionariosFrota\"/>
    </mc:Choice>
  </mc:AlternateContent>
  <xr:revisionPtr revIDLastSave="0" documentId="13_ncr:1_{AFBF5D22-51D7-43B6-BA1C-BC88C69173B7}" xr6:coauthVersionLast="47" xr6:coauthVersionMax="47" xr10:uidLastSave="{00000000-0000-0000-0000-000000000000}"/>
  <bookViews>
    <workbookView xWindow="-108" yWindow="-108" windowWidth="23256" windowHeight="13176" firstSheet="1" activeTab="6" xr2:uid="{B2EDD3B0-B891-4742-BDCB-6442C9DBAD68}"/>
  </bookViews>
  <sheets>
    <sheet name="Planilha1" sheetId="1" r:id="rId1"/>
    <sheet name="Config" sheetId="2" r:id="rId2"/>
    <sheet name="Funcionarios" sheetId="3" r:id="rId3"/>
    <sheet name="Alocacoes" sheetId="4" r:id="rId4"/>
    <sheet name="Cadastro" sheetId="5" r:id="rId5"/>
    <sheet name="Regioes" sheetId="6" r:id="rId6"/>
    <sheet name="Alocacao" sheetId="7" r:id="rId7"/>
    <sheet name="Consulta" sheetId="8" r:id="rId8"/>
    <sheet name="Dashboard" sheetId="9" r:id="rId9"/>
    <sheet name="Relatorio" sheetId="10" state="veryHidden" r:id="rId10"/>
  </sheets>
  <functionGroups builtInGroupCount="19"/>
  <definedNames>
    <definedName name="nmFuncIds">Funcionarios!$A$2:$A$3</definedName>
    <definedName name="nmRegioesCod">Regioes!$A$11:$A$13</definedName>
  </definedNames>
  <calcPr calcId="191029"/>
  <pivotCaches>
    <pivotCache cacheId="7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<sst xmlns="http://schemas.openxmlformats.org/spreadsheetml/2006/main" count="126" uniqueCount="77">
  <si>
    <t>Chave</t>
  </si>
  <si>
    <t>Valor</t>
  </si>
  <si>
    <t>SenhaProtecao</t>
  </si>
  <si>
    <t>alocacao</t>
  </si>
  <si>
    <t>CodigoAutorizacaoRetroativa</t>
  </si>
  <si>
    <t>RETRO-OK</t>
  </si>
  <si>
    <t>DiasPermitidosRetroativo</t>
  </si>
  <si>
    <t>StatusFuncionarios</t>
  </si>
  <si>
    <t>Ativo</t>
  </si>
  <si>
    <t>Inativo</t>
  </si>
  <si>
    <t>Departamentos</t>
  </si>
  <si>
    <t>Operacoes</t>
  </si>
  <si>
    <t>Administrativo</t>
  </si>
  <si>
    <t>TI</t>
  </si>
  <si>
    <t>RH</t>
  </si>
  <si>
    <t>Cargos</t>
  </si>
  <si>
    <t>Analista</t>
  </si>
  <si>
    <t>Assistente</t>
  </si>
  <si>
    <t>Coordenador</t>
  </si>
  <si>
    <t>Supervisor</t>
  </si>
  <si>
    <t>FuncionarioID</t>
  </si>
  <si>
    <t>NomeCompleto</t>
  </si>
  <si>
    <t>CPF</t>
  </si>
  <si>
    <t>DataAdmissao</t>
  </si>
  <si>
    <t>Cargo</t>
  </si>
  <si>
    <t>Departamento</t>
  </si>
  <si>
    <t>Status</t>
  </si>
  <si>
    <t>DataCadastro</t>
  </si>
  <si>
    <t>UltimaAtualizacao</t>
  </si>
  <si>
    <t>AlocacaoID</t>
  </si>
  <si>
    <t>RegiaoCodigo</t>
  </si>
  <si>
    <t>DataInicio</t>
  </si>
  <si>
    <t>DataFim</t>
  </si>
  <si>
    <t>Observacoes</t>
  </si>
  <si>
    <t>DataRegistro</t>
  </si>
  <si>
    <t>Usuario</t>
  </si>
  <si>
    <t>Cadastro de Funcionarios</t>
  </si>
  <si>
    <t>Regioes</t>
  </si>
  <si>
    <t>Cadastro de Regioes</t>
  </si>
  <si>
    <t>Codigo</t>
  </si>
  <si>
    <t>Nome</t>
  </si>
  <si>
    <t>Endereco</t>
  </si>
  <si>
    <t>CapacidadeMaxima</t>
  </si>
  <si>
    <t>RegiaoNome</t>
  </si>
  <si>
    <t>EnderecoCompleto</t>
  </si>
  <si>
    <t>Alocacao por Regiao</t>
  </si>
  <si>
    <t>Funcionario</t>
  </si>
  <si>
    <t>Regiao</t>
  </si>
  <si>
    <t>AutorizacaoRetroativa</t>
  </si>
  <si>
    <t>CodigoAutorizacao</t>
  </si>
  <si>
    <t>Consulta Historica</t>
  </si>
  <si>
    <t>Funcionario (ID ou Nome)</t>
  </si>
  <si>
    <t>Regiao (codigo)</t>
  </si>
  <si>
    <t>DataInicial</t>
  </si>
  <si>
    <t>DataFinal</t>
  </si>
  <si>
    <t>Dashboard</t>
  </si>
  <si>
    <t>Indicadores</t>
  </si>
  <si>
    <t>Funcionarios sem alocacao</t>
  </si>
  <si>
    <t>Alocacoes vencendo (7 dias)</t>
  </si>
  <si>
    <t>AlocadosHoje</t>
  </si>
  <si>
    <t>TaxaOcupacao</t>
  </si>
  <si>
    <t>NAO</t>
  </si>
  <si>
    <t>JUAC</t>
  </si>
  <si>
    <t>Juazeiro</t>
  </si>
  <si>
    <t>Marcos</t>
  </si>
  <si>
    <t>Vicot Xavier</t>
  </si>
  <si>
    <t>91719720568</t>
  </si>
  <si>
    <t>F000001</t>
  </si>
  <si>
    <t>teste, testes</t>
  </si>
  <si>
    <t>A-FD0B0EC7-24F5-4538-89B4-2230ED59B00A</t>
  </si>
  <si>
    <t>VITOR</t>
  </si>
  <si>
    <t>Total Geral</t>
  </si>
  <si>
    <t>Alocados</t>
  </si>
  <si>
    <t>SAC</t>
  </si>
  <si>
    <t>Salvador</t>
  </si>
  <si>
    <t>Georgio</t>
  </si>
  <si>
    <t>mudando de área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</si>
</sst>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dd/mm/yyyy\ hh:mm"/>
    <numFmt numFmtId="166" formatCode="0.0%"/>
  </numFmts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8"/>
      <color rgb="FFFFFFFF"/>
      <name val="Calibri"/>
      <family val="2"/>
    </font>
    <font>
      <b/>
      <sz val="18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21734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NumberFormat="1"/>
    <xf numFmtId="0" fontId="3" fillId="0" borderId="0" xfId="0" applyNumberFormat="1" applyFont="1"/>
    <xf numFmtId="0" fontId="4" fillId="0" borderId="0" xfId="0" applyNumberFormat="1" applyFont="1"/>
    <xf numFmtId="49" fontId="4" fillId="0" borderId="0" xfId="0" applyNumberFormat="1" applyFont="1"/>
    <xf numFmtId="49" fontId="3" fillId="0" borderId="0" xfId="0" applyNumberFormat="1" applyFont="1"/>
    <xf numFmtId="164" fontId="4" fillId="0" borderId="0" xfId="0" applyNumberFormat="1" applyFont="1"/>
    <xf numFmtId="164" fontId="3" fillId="0" borderId="0" xfId="0" applyNumberFormat="1" applyFont="1"/>
    <xf numFmtId="165" fontId="4" fillId="0" borderId="0" xfId="0" applyNumberFormat="1" applyFont="1"/>
    <xf numFmtId="165" fontId="3" fillId="0" borderId="0" xfId="0" applyNumberFormat="1" applyFont="1"/>
    <xf numFmtId="0" fontId="5" fillId="3" borderId="0" xfId="0" applyNumberFormat="1" applyFont="1" applyFill="1" applyAlignment="1" applyProtection="1">
      <alignment horizontal="left" vertical="center"/>
    </xf>
    <xf numFmtId="0" fontId="3" fillId="0" borderId="0" xfId="0" applyNumberFormat="1" applyFont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left" vertical="center"/>
    </xf>
    <xf numFmtId="49" fontId="3" fillId="4" borderId="1" xfId="0" applyNumberFormat="1" applyFont="1" applyFill="1" applyBorder="1" applyAlignment="1" applyProtection="1">
      <alignment horizontal="left" vertical="center"/>
    </xf>
    <xf numFmtId="0" fontId="3" fillId="4" borderId="1" xfId="0" applyNumberFormat="1" applyFont="1" applyFill="1" applyBorder="1" applyAlignment="1" applyProtection="1">
      <alignment horizontal="left" vertical="center"/>
      <protection locked="0"/>
    </xf>
    <xf numFmtId="49" fontId="3" fillId="4" borderId="1" xfId="0" applyNumberFormat="1" applyFont="1" applyFill="1" applyBorder="1" applyAlignment="1" applyProtection="1">
      <alignment horizontal="left" vertical="center"/>
      <protection locked="0"/>
    </xf>
    <xf numFmtId="164" fontId="3" fillId="4" borderId="1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3" borderId="0" xfId="0" applyFont="1" applyFill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7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</xf>
    <xf numFmtId="0" fontId="0" fillId="4" borderId="1" xfId="0" applyFill="1" applyBorder="1" applyAlignment="1" applyProtection="1">
      <alignment horizontal="left" vertical="center"/>
      <protection locked="0"/>
    </xf>
    <xf numFmtId="1" fontId="0" fillId="4" borderId="1" xfId="0" applyNumberFormat="1" applyFill="1" applyBorder="1" applyAlignment="1" applyProtection="1">
      <alignment horizontal="left" vertical="center"/>
      <protection locked="0"/>
    </xf>
    <xf numFmtId="0" fontId="3" fillId="0" borderId="0" xfId="0" applyNumberFormat="1" applyFont="1" applyAlignment="1" applyProtection="1">
      <alignment horizontal="left" vertical="center" wrapText="1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0" fontId="8" fillId="4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0" fillId="5" borderId="3" xfId="0" applyFont="1" applyFill="1" applyBorder="1" applyAlignment="1">
      <alignment horizontal="left" vertical="center"/>
    </xf>
    <xf numFmtId="0" fontId="0" fillId="5" borderId="4" xfId="0" applyFont="1" applyFill="1" applyBorder="1" applyAlignment="1">
      <alignment horizontal="left" vertical="center"/>
    </xf>
    <xf numFmtId="49" fontId="3" fillId="0" borderId="0" xfId="0" quotePrefix="1" applyNumberFormat="1" applyFont="1"/>
    <xf numFmtId="22" fontId="3" fillId="0" borderId="0" xfId="0" applyNumberFormat="1" applyFont="1"/>
    <xf numFmtId="164" fontId="0" fillId="5" borderId="4" xfId="0" applyNumberFormat="1" applyFont="1" applyFill="1" applyBorder="1" applyAlignment="1">
      <alignment horizontal="left" vertical="center"/>
    </xf>
    <xf numFmtId="0" fontId="0" fillId="0" borderId="0" xfId="0" pivotButton="1"/>
  </cellXfs>
  <cellStyles count="1">
    <cellStyle name="Normal" xfId="0" builtinId="0"/>
  </cellStyles>
  <dxfs count="51">
    <dxf>
      <numFmt numFmtId="1" formatCode="0"/>
      <alignment horizontal="left" vertical="center" textRotation="0" wrapText="0" indent="0" justifyLastLine="0" shrinkToFit="0" readingOrder="0"/>
    </dxf>
    <dxf>
      <numFmt numFmtId="166" formatCode="0.0%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dd/mm/yyyy"/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dd/mm/yyyy"/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ck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[alocacaoFuncionariosDemaq.xltm]Dashboard!pvtAlocadosPorRegiao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Alocados por regiao (hoje)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Dashboard!$I$3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Dashboard!$H$4:$H$5</c:f>
              <c:strCache>
                <c:ptCount val="1"/>
                <c:pt idx="0">
                  <c:v>31</c:v>
                </c:pt>
              </c:strCache>
            </c:strRef>
          </c:cat>
          <c:val>
            <c:numRef>
              <c:f>Dashboard!$I$4:$I$5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6B-46B3-B4A1-08E28ED06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1263056"/>
        <c:axId val="1381261136"/>
      </c:barChart>
      <c:catAx>
        <c:axId val="138126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1261136"/>
        <c:crosses val="autoZero"/>
        <c:auto val="1"/>
        <c:lblAlgn val="ctr"/>
        <c:lblOffset val="100"/>
        <c:noMultiLvlLbl val="0"/>
      </c:catAx>
      <c:valAx>
        <c:axId val="138126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1263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3</xdr:col>
      <xdr:colOff>0</xdr:colOff>
      <xdr:row>12</xdr:row>
      <xdr:rowOff>0</xdr:rowOff>
    </xdr:to>
    <xdr:sp macro="Employee_SaveFrom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F2E6BAA-B6DA-B33F-EBED-D51A39F37FFA}"/>
            </a:ext>
          </a:extLst>
        </xdr:cNvPr>
        <xdr:cNvSpPr/>
      </xdr:nvSpPr>
      <xdr:spPr>
        <a:xfrm>
          <a:off x="876300" y="2484120"/>
          <a:ext cx="175260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Salvar/Atualizar</a:t>
          </a:r>
        </a:p>
      </xdr:txBody>
    </xdr:sp>
    <xdr:clientData/>
  </xdr:twoCellAnchor>
  <xdr:twoCellAnchor>
    <xdr:from>
      <xdr:col>3</xdr:col>
      <xdr:colOff>0</xdr:colOff>
      <xdr:row>10</xdr:row>
      <xdr:rowOff>0</xdr:rowOff>
    </xdr:from>
    <xdr:to>
      <xdr:col>4</xdr:col>
      <xdr:colOff>0</xdr:colOff>
      <xdr:row>12</xdr:row>
      <xdr:rowOff>0</xdr:rowOff>
    </xdr:to>
    <xdr:sp macro="Employee_ClearForm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A358A03-F09B-8AFB-975F-6AE60A342175}"/>
            </a:ext>
          </a:extLst>
        </xdr:cNvPr>
        <xdr:cNvSpPr/>
      </xdr:nvSpPr>
      <xdr:spPr>
        <a:xfrm>
          <a:off x="2628900" y="2484120"/>
          <a:ext cx="87630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Region_SaveFrom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569B3FD-22EF-4006-DEC7-0B14EA6FBBC7}"/>
            </a:ext>
          </a:extLst>
        </xdr:cNvPr>
        <xdr:cNvSpPr/>
      </xdr:nvSpPr>
      <xdr:spPr>
        <a:xfrm>
          <a:off x="876300" y="1798320"/>
          <a:ext cx="175260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Salvar/Atualizar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9</xdr:row>
      <xdr:rowOff>0</xdr:rowOff>
    </xdr:to>
    <xdr:sp macro="Region_ClearForm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44A4AC-C987-26EA-B724-FC34926C821A}"/>
            </a:ext>
          </a:extLst>
        </xdr:cNvPr>
        <xdr:cNvSpPr/>
      </xdr:nvSpPr>
      <xdr:spPr>
        <a:xfrm>
          <a:off x="2628900" y="1798320"/>
          <a:ext cx="87630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Allocation_SaveFrom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C46F423-1C8C-386B-DF6C-9D95294FDD76}"/>
            </a:ext>
          </a:extLst>
        </xdr:cNvPr>
        <xdr:cNvSpPr/>
      </xdr:nvSpPr>
      <xdr:spPr>
        <a:xfrm>
          <a:off x="876300" y="3246120"/>
          <a:ext cx="175260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Salvar Alocacao</a:t>
          </a:r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Allocation_ClearForm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F3816F-3048-72D1-AA82-4D0FFC576FAF}"/>
            </a:ext>
          </a:extLst>
        </xdr:cNvPr>
        <xdr:cNvSpPr/>
      </xdr:nvSpPr>
      <xdr:spPr>
        <a:xfrm>
          <a:off x="2628900" y="3246120"/>
          <a:ext cx="87630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Query_Run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75E59B4-9086-F8C7-8FE6-B879B0B243AC}"/>
            </a:ext>
          </a:extLst>
        </xdr:cNvPr>
        <xdr:cNvSpPr/>
      </xdr:nvSpPr>
      <xdr:spPr>
        <a:xfrm>
          <a:off x="876300" y="1569720"/>
          <a:ext cx="1752600" cy="2286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Buscar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Query_Cle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C500FBB-A610-7319-E387-C76CF96A4DE6}"/>
            </a:ext>
          </a:extLst>
        </xdr:cNvPr>
        <xdr:cNvSpPr/>
      </xdr:nvSpPr>
      <xdr:spPr>
        <a:xfrm>
          <a:off x="2628900" y="1569720"/>
          <a:ext cx="1752600" cy="2286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Limpar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0</xdr:colOff>
      <xdr:row>4</xdr:row>
      <xdr:rowOff>0</xdr:rowOff>
    </xdr:to>
    <xdr:sp macro="Dashboard_RefreshAl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CDBEF8B-012A-CE21-8618-42B62975A4C3}"/>
            </a:ext>
          </a:extLst>
        </xdr:cNvPr>
        <xdr:cNvSpPr/>
      </xdr:nvSpPr>
      <xdr:spPr>
        <a:xfrm>
          <a:off x="2628900" y="655320"/>
          <a:ext cx="175260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Atualizar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13</xdr:col>
      <xdr:colOff>45720</xdr:colOff>
      <xdr:row>22</xdr:row>
      <xdr:rowOff>76200</xdr:rowOff>
    </xdr:to>
    <xdr:graphicFrame macro="">
      <xdr:nvGraphicFramePr>
        <xdr:cNvPr id="4" name="chtAlocadosPorRegiao">
          <a:extLst>
            <a:ext uri="{FF2B5EF4-FFF2-40B4-BE49-F238E27FC236}">
              <a16:creationId xmlns:a16="http://schemas.microsoft.com/office/drawing/2014/main" id="{18FEFF89-2EB5-CE30-528B-0D2682C86A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" refreshedDate="46109.573207986112" createdVersion="8" refreshedVersion="8" minRefreshableVersion="3" recordCount="1" xr:uid="{06265E7E-C4EA-4A63-9F7B-EF8F2CA69BB7}">
  <cacheSource type="worksheet">
    <worksheetSource ref="H20:K21" sheet="Dashboard"/>
  </cacheSource>
  <cacheFields count="4">
    <cacheField name="FuncionarioID" numFmtId="0">
      <sharedItems/>
    </cacheField>
    <cacheField name="RegiaoCodigo" numFmtId="0">
      <sharedItems containsSemiMixedTypes="0" containsString="0" containsNumber="1" containsInteger="1" minValue="31" maxValue="31" count="1">
        <n v="31"/>
      </sharedItems>
    </cacheField>
    <cacheField name="DataInicio" numFmtId="164">
      <sharedItems containsSemiMixedTypes="0" containsNonDate="0" containsDate="1" containsString="0" minDate="2026-03-20T00:00:00" maxDate="2026-03-21T00:00:00"/>
    </cacheField>
    <cacheField name="DataFim" numFmtId="164">
      <sharedItems containsSemiMixedTypes="0" containsNonDate="0" containsDate="1" containsString="0" minDate="2027-06-20T00:00:00" maxDate="2027-06-2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F000001"/>
    <x v="0"/>
    <d v="2026-03-20T00:00:00"/>
    <d v="2027-06-20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797DD2-027E-4806-B082-0F8412FAD4D7}" name="pvtAlocadosPorRegiao" cacheId="7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 chartFormat="1">
  <location ref="H3:I5" firstHeaderRow="1" firstDataRow="1" firstDataCol="1"/>
  <pivotFields count="4">
    <pivotField dataField="1" compact="0" outline="0" showAll="0"/>
    <pivotField axis="axisRow" compact="0" outline="0" showAll="0">
      <items count="2">
        <item x="0"/>
        <item t="default"/>
      </items>
    </pivotField>
    <pivotField compact="0" numFmtId="164" outline="0" showAll="0"/>
    <pivotField compact="0" numFmtId="164" outline="0" showAll="0"/>
  </pivotFields>
  <rowFields count="1">
    <field x="1"/>
  </rowFields>
  <rowItems count="2">
    <i>
      <x/>
    </i>
    <i t="grand">
      <x/>
    </i>
  </rowItems>
  <colItems count="1">
    <i/>
  </colItems>
  <dataFields count="1">
    <dataField name="Alocado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725543-1962-4C2C-A642-A6A52BB441FB}" name="tbFuncionarios" displayName="tbFuncionarios" ref="A1:I3" totalsRowShown="0" headerRowDxfId="48" dataDxfId="49">
  <autoFilter ref="A1:I3" xr:uid="{58725543-1962-4C2C-A642-A6A52BB441FB}"/>
  <tableColumns count="9">
    <tableColumn id="1" xr3:uid="{235E8229-9290-4807-A76F-CBB14A85B7FC}" name="FuncionarioID" dataDxfId="47"/>
    <tableColumn id="2" xr3:uid="{0CC52403-8366-400F-AA82-A7B19B6B8DD3}" name="NomeCompleto" dataDxfId="46"/>
    <tableColumn id="3" xr3:uid="{ACB4D6AA-762C-4166-A716-339E1620F7EB}" name="CPF" dataDxfId="45"/>
    <tableColumn id="4" xr3:uid="{CE829955-11AB-44C8-A488-01E683E2CC6F}" name="DataAdmissao" dataDxfId="43"/>
    <tableColumn id="5" xr3:uid="{7C5BD886-C3D4-4604-AAA0-ABB988FB2C40}" name="Cargo" dataDxfId="44"/>
    <tableColumn id="6" xr3:uid="{3130BBB3-09CB-4ECB-9850-C0B8133903DE}" name="Departamento" dataDxfId="50"/>
    <tableColumn id="7" xr3:uid="{EB68EAEF-F2CC-4D53-A8B9-4CF51A4FFBD5}" name="Status" dataDxfId="42"/>
    <tableColumn id="8" xr3:uid="{071037E4-59C1-462F-9C6A-360DED0C4169}" name="DataCadastro" dataDxfId="41"/>
    <tableColumn id="9" xr3:uid="{FE261721-C8E7-4212-8939-1F0A688990AB}" name="UltimaAtualizacao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AD0135-F88F-4AB2-96F9-2C006C1BB212}" name="tbAlocacoes" displayName="tbAlocacoes" ref="A1:H3" totalsRowShown="0" headerRowDxfId="34" dataDxfId="35">
  <autoFilter ref="A1:H3" xr:uid="{8CAD0135-F88F-4AB2-96F9-2C006C1BB212}"/>
  <tableColumns count="8">
    <tableColumn id="1" xr3:uid="{64647FD2-6F37-4824-818E-2F63471EDC08}" name="AlocacaoID" dataDxfId="39"/>
    <tableColumn id="2" xr3:uid="{7EC45D4D-9395-4B4B-8BA7-D9EEEE66811A}" name="FuncionarioID" dataDxfId="38"/>
    <tableColumn id="3" xr3:uid="{C8CB1FBA-E500-4604-BD2D-79A9A48D00B8}" name="RegiaoCodigo" dataDxfId="33"/>
    <tableColumn id="4" xr3:uid="{A26B1FC8-AFCA-43EC-900C-90A6E88B7C3C}" name="DataInicio" dataDxfId="32"/>
    <tableColumn id="5" xr3:uid="{E2561702-2BA6-4089-9724-5618C0997F31}" name="DataFim" dataDxfId="30"/>
    <tableColumn id="6" xr3:uid="{6ECD5D93-1E21-4937-9B56-92BFE4D8345A}" name="Observacoes" dataDxfId="31"/>
    <tableColumn id="7" xr3:uid="{6E2D99BB-7691-4B0E-B9C2-C943853F84AF}" name="DataRegistro" dataDxfId="37"/>
    <tableColumn id="8" xr3:uid="{8F5733EC-8DFF-4AC8-B9FF-57CB32C744F9}" name="Usuario" dataDxfId="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967DF3-F77B-4E64-98EA-02A1F5040561}" name="tbRegioes" displayName="tbRegioes" ref="A10:E13" totalsRowShown="0" headerRowDxfId="23" dataDxfId="24">
  <autoFilter ref="A10:E13" xr:uid="{5B967DF3-F77B-4E64-98EA-02A1F5040561}"/>
  <tableColumns count="5">
    <tableColumn id="1" xr3:uid="{1B1499D3-BDF9-44D6-83DD-8A717111CDA4}" name="RegiaoCodigo" dataDxfId="29"/>
    <tableColumn id="2" xr3:uid="{56EDD8D0-BB1B-41B8-B2DC-A51AFE6B3EC5}" name="RegiaoNome" dataDxfId="28"/>
    <tableColumn id="3" xr3:uid="{34114498-972A-4B90-8D79-53FA3800ABAC}" name="EnderecoCompleto" dataDxfId="27"/>
    <tableColumn id="4" xr3:uid="{2E264C33-819F-4F7E-8EDD-DB3C700C1311}" name="Supervisor" dataDxfId="26"/>
    <tableColumn id="5" xr3:uid="{1495D9FC-0C59-4B8C-8687-7FC26CA22773}" name="CapacidadeMaxima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BA6DD7-F4E2-4071-8F95-2CAD8C52AE0E}" name="tbConsulta" displayName="tbConsulta" ref="A10:I11" totalsRowShown="0" headerRowDxfId="12" dataDxfId="13">
  <autoFilter ref="A10:I11" xr:uid="{32BA6DD7-F4E2-4071-8F95-2CAD8C52AE0E}"/>
  <tableColumns count="9">
    <tableColumn id="1" xr3:uid="{F0E5FC54-C60B-47AA-8D2D-5998D05849E2}" name="AlocacaoID" dataDxfId="22"/>
    <tableColumn id="2" xr3:uid="{A46FEB5B-D062-467A-B0DD-1ECB5A397665}" name="FuncionarioID" dataDxfId="21"/>
    <tableColumn id="3" xr3:uid="{AB0B6908-1135-4ED9-89AE-CA01666413AA}" name="NomeCompleto" dataDxfId="20"/>
    <tableColumn id="4" xr3:uid="{4B81E957-7E8F-49FB-BE38-ECBAFB9075CA}" name="CPF" dataDxfId="19"/>
    <tableColumn id="5" xr3:uid="{294C877F-24E0-452C-A914-8F04F2E9F14E}" name="RegiaoCodigo" dataDxfId="18"/>
    <tableColumn id="6" xr3:uid="{9128CD77-1620-4DD9-A6F6-9A801709BEE4}" name="RegiaoNome" dataDxfId="17"/>
    <tableColumn id="7" xr3:uid="{BB24D3E3-E608-4100-A749-13FDEEA8AA89}" name="DataInicio" dataDxfId="16"/>
    <tableColumn id="8" xr3:uid="{007E1F73-BE8F-46E4-AB69-3E3AD75A8477}" name="DataFim" dataDxfId="15"/>
    <tableColumn id="9" xr3:uid="{B1F6E004-9318-4288-AF74-75FFDAC30A5A}" name="Observacoes" dataDxfId="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5011D2-214C-4EBE-B0C3-B71155FAF416}" name="tbDashRegioes" displayName="tbDashRegioes" ref="A9:E12" totalsRowShown="0" headerRowDxfId="9" dataDxfId="10">
  <autoFilter ref="A9:E12" xr:uid="{9B5011D2-214C-4EBE-B0C3-B71155FAF416}"/>
  <tableColumns count="5">
    <tableColumn id="1" xr3:uid="{0DEFB7CA-406D-468C-9414-C1602174FA45}" name="RegiaoCodigo" dataDxfId="11"/>
    <tableColumn id="2" xr3:uid="{9942BACB-4994-40D8-B027-3307EA0596DB}" name="RegiaoNome" dataDxfId="3"/>
    <tableColumn id="3" xr3:uid="{9EC4FD16-78BE-4D09-9B6E-E75C523D3079}" name="CapacidadeMaxima" dataDxfId="2"/>
    <tableColumn id="4" xr3:uid="{2287D611-0DF1-4EE7-B05A-38FDE5FA3B5C}" name="AlocadosHoje" dataDxfId="0"/>
    <tableColumn id="5" xr3:uid="{DEC910C1-1018-40A6-B26D-3433CFFDCF3F}" name="TaxaOcupacao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AAB4F1-0187-4588-BD2D-E5BBD0A76FF6}" name="tbAlocacoesHoje" displayName="tbAlocacoesHoje" ref="H20:K21" totalsRowShown="0" headerRowDxfId="7">
  <autoFilter ref="H20:K21" xr:uid="{44AAB4F1-0187-4588-BD2D-E5BBD0A76FF6}"/>
  <tableColumns count="4">
    <tableColumn id="1" xr3:uid="{2589BF3B-C2AA-4684-A329-93DFE88F1AFE}" name="FuncionarioID" dataDxfId="8"/>
    <tableColumn id="2" xr3:uid="{D7D0DB81-8705-498A-95EC-19EA57496752}" name="RegiaoCodigo" dataDxfId="6"/>
    <tableColumn id="3" xr3:uid="{BE00DBD8-3392-4874-904C-53A994E15564}" name="DataInicio" dataDxfId="5"/>
    <tableColumn id="4" xr3:uid="{B81A1756-A429-479C-A19C-BFDC5EBA6A2F}" name="DataFim" dataDxfId="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289D3-F36E-48A6-A4B3-4B50DBC9DD04}">
  <sheetPr codeName="Planilha1"/>
  <dimension ref="A1"/>
  <sheetViews>
    <sheetView workbookViewId="0">
      <selection activeCell="O13" sqref="O1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9AD71-087B-46DC-8392-20DDA3504320}">
  <dimension ref="A1:G10"/>
  <sheetViews>
    <sheetView workbookViewId="0"/>
  </sheetViews>
  <sheetFormatPr defaultRowHeight="14.4" x14ac:dyDescent="0.3"/>
  <cols>
    <col min="1" max="16384" width="8.88671875" style="2"/>
  </cols>
  <sheetData>
    <row r="1" spans="1:7" x14ac:dyDescent="0.3">
      <c r="A1" s="2" t="s">
        <v>0</v>
      </c>
      <c r="B1" s="2" t="s">
        <v>1</v>
      </c>
    </row>
    <row r="2" spans="1:7" x14ac:dyDescent="0.3">
      <c r="A2" s="2" t="s">
        <v>2</v>
      </c>
      <c r="B2" s="2" t="s">
        <v>3</v>
      </c>
    </row>
    <row r="3" spans="1:7" x14ac:dyDescent="0.3">
      <c r="A3" s="2" t="s">
        <v>4</v>
      </c>
      <c r="B3" s="2" t="s">
        <v>5</v>
      </c>
    </row>
    <row r="4" spans="1:7" x14ac:dyDescent="0.3">
      <c r="A4" s="2" t="s">
        <v>6</v>
      </c>
      <c r="B4" s="2">
        <v>0</v>
      </c>
    </row>
    <row r="6" spans="1:7" x14ac:dyDescent="0.3">
      <c r="A6" s="2" t="s">
        <v>7</v>
      </c>
      <c r="D6" s="2" t="s">
        <v>10</v>
      </c>
      <c r="G6" s="2" t="s">
        <v>15</v>
      </c>
    </row>
    <row r="7" spans="1:7" x14ac:dyDescent="0.3">
      <c r="A7" s="2" t="s">
        <v>8</v>
      </c>
      <c r="D7" s="2" t="s">
        <v>11</v>
      </c>
      <c r="G7" s="2" t="s">
        <v>16</v>
      </c>
    </row>
    <row r="8" spans="1:7" x14ac:dyDescent="0.3">
      <c r="A8" s="2" t="s">
        <v>9</v>
      </c>
      <c r="D8" s="2" t="s">
        <v>12</v>
      </c>
      <c r="G8" s="2" t="s">
        <v>17</v>
      </c>
    </row>
    <row r="9" spans="1:7" x14ac:dyDescent="0.3">
      <c r="D9" s="2" t="s">
        <v>13</v>
      </c>
      <c r="G9" s="2" t="s">
        <v>18</v>
      </c>
    </row>
    <row r="10" spans="1:7" x14ac:dyDescent="0.3">
      <c r="D10" s="2" t="s">
        <v>14</v>
      </c>
      <c r="G10" s="2" t="s">
        <v>19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A2C98-E75B-413C-B024-49726ED59732}">
  <dimension ref="A1:I3"/>
  <sheetViews>
    <sheetView workbookViewId="0"/>
  </sheetViews>
  <sheetFormatPr defaultRowHeight="14.4" x14ac:dyDescent="0.3"/>
  <cols>
    <col min="1" max="1" width="14.88671875" style="2" bestFit="1" customWidth="1"/>
    <col min="2" max="2" width="16.6640625" style="2" bestFit="1" customWidth="1"/>
    <col min="3" max="3" width="12" style="2" bestFit="1" customWidth="1"/>
    <col min="4" max="4" width="15.33203125" style="2" bestFit="1" customWidth="1"/>
    <col min="5" max="5" width="8.109375" style="2" bestFit="1" customWidth="1"/>
    <col min="6" max="6" width="15.5546875" style="2" bestFit="1" customWidth="1"/>
    <col min="7" max="7" width="8.44140625" style="2" bestFit="1" customWidth="1"/>
    <col min="8" max="8" width="15.6640625" style="2" bestFit="1" customWidth="1"/>
    <col min="9" max="9" width="18.5546875" style="2" bestFit="1" customWidth="1"/>
    <col min="10" max="16384" width="8.88671875" style="2"/>
  </cols>
  <sheetData>
    <row r="1" spans="1:9" x14ac:dyDescent="0.3">
      <c r="A1" s="4" t="s">
        <v>20</v>
      </c>
      <c r="B1" s="3" t="s">
        <v>21</v>
      </c>
      <c r="C1" s="4" t="s">
        <v>22</v>
      </c>
      <c r="D1" s="6" t="s">
        <v>23</v>
      </c>
      <c r="E1" s="3" t="s">
        <v>24</v>
      </c>
      <c r="F1" s="3" t="s">
        <v>25</v>
      </c>
      <c r="G1" s="3" t="s">
        <v>26</v>
      </c>
      <c r="H1" s="8" t="s">
        <v>27</v>
      </c>
      <c r="I1" s="8" t="s">
        <v>28</v>
      </c>
    </row>
    <row r="2" spans="1:9" x14ac:dyDescent="0.3">
      <c r="A2" s="5"/>
      <c r="C2" s="5"/>
      <c r="D2" s="7"/>
      <c r="H2" s="9"/>
      <c r="I2" s="9"/>
    </row>
    <row r="3" spans="1:9" x14ac:dyDescent="0.3">
      <c r="A3" s="5" t="s">
        <v>67</v>
      </c>
      <c r="B3" s="2" t="s">
        <v>65</v>
      </c>
      <c r="C3" s="35" t="s">
        <v>66</v>
      </c>
      <c r="D3" s="7">
        <v>46097</v>
      </c>
      <c r="E3" s="2" t="s">
        <v>16</v>
      </c>
      <c r="F3" s="2" t="s">
        <v>12</v>
      </c>
      <c r="G3" s="2" t="s">
        <v>8</v>
      </c>
      <c r="H3" s="9">
        <v>46109.570972222224</v>
      </c>
      <c r="I3" s="9">
        <v>46109.570972222224</v>
      </c>
    </row>
  </sheetData>
  <sheetProtection algorithmName="SHA-512" hashValue="2Zh+uCBAe5MGKogVqZeScii2DODAPTc/RiA9I5XH+2QBqg63cWsIvJz6a57qBHA7ejXAo6FNMy8H+qrb1RdDnQ==" saltValue="5WOVhTyzcWNyEKmJNwM3Fw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4A98-B6ED-4A0F-956A-C865398EA4FC}">
  <dimension ref="A1:H3"/>
  <sheetViews>
    <sheetView workbookViewId="0">
      <selection activeCell="E3" sqref="E3"/>
    </sheetView>
  </sheetViews>
  <sheetFormatPr defaultRowHeight="14.4" x14ac:dyDescent="0.3"/>
  <cols>
    <col min="1" max="1" width="12.6640625" style="2" bestFit="1" customWidth="1"/>
    <col min="2" max="2" width="14.88671875" style="2" bestFit="1" customWidth="1"/>
    <col min="3" max="3" width="14.77734375" style="2" bestFit="1" customWidth="1"/>
    <col min="4" max="4" width="11.6640625" style="2" bestFit="1" customWidth="1"/>
    <col min="5" max="5" width="10.109375" style="2" bestFit="1" customWidth="1"/>
    <col min="6" max="7" width="13.88671875" style="2" bestFit="1" customWidth="1"/>
    <col min="8" max="8" width="9.6640625" style="2" bestFit="1" customWidth="1"/>
    <col min="9" max="16384" width="8.88671875" style="2"/>
  </cols>
  <sheetData>
    <row r="1" spans="1:8" x14ac:dyDescent="0.3">
      <c r="A1" s="3" t="s">
        <v>29</v>
      </c>
      <c r="B1" s="3" t="s">
        <v>20</v>
      </c>
      <c r="C1" s="3" t="s">
        <v>30</v>
      </c>
      <c r="D1" s="3" t="s">
        <v>31</v>
      </c>
      <c r="E1" s="3" t="s">
        <v>32</v>
      </c>
      <c r="F1" s="3" t="s">
        <v>33</v>
      </c>
      <c r="G1" s="3" t="s">
        <v>34</v>
      </c>
      <c r="H1" s="3" t="s">
        <v>35</v>
      </c>
    </row>
    <row r="2" spans="1:8" x14ac:dyDescent="0.3">
      <c r="D2" s="7"/>
      <c r="E2" s="7"/>
    </row>
    <row r="3" spans="1:8" x14ac:dyDescent="0.3">
      <c r="A3" s="2" t="s">
        <v>69</v>
      </c>
      <c r="B3" s="2" t="s">
        <v>67</v>
      </c>
      <c r="C3" s="2">
        <v>31</v>
      </c>
      <c r="D3" s="7">
        <v>46101</v>
      </c>
      <c r="E3" s="7">
        <v>46558</v>
      </c>
      <c r="F3" s="2" t="s">
        <v>68</v>
      </c>
      <c r="G3" s="36">
        <v>46109.572083333333</v>
      </c>
      <c r="H3" s="2" t="s">
        <v>70</v>
      </c>
    </row>
  </sheetData>
  <sheetProtection algorithmName="SHA-512" hashValue="68G0FpUBUkhxZachgb35FhcfpVidGXNnQsxYVNqnGQm/JtAuXQgwnRSd2/UGRm6kpZkh9TiGnFZhOmtc3u/KGw==" saltValue="jgwMiS2TE9k3hGmxrPPm+A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7F592-9650-4F3F-A35A-085322DF9DD2}">
  <dimension ref="A1:D9"/>
  <sheetViews>
    <sheetView showGridLines="0" zoomScale="110" zoomScaleNormal="110" workbookViewId="0">
      <pane ySplit="3" topLeftCell="A4" activePane="bottomLeft" state="frozen"/>
      <selection pane="bottomLeft" activeCell="B9" sqref="B9"/>
    </sheetView>
  </sheetViews>
  <sheetFormatPr defaultColWidth="12.77734375" defaultRowHeight="18" customHeight="1" x14ac:dyDescent="0.3"/>
  <cols>
    <col min="1" max="16384" width="12.77734375" style="11"/>
  </cols>
  <sheetData>
    <row r="1" spans="1:4" ht="34.049999999999997" customHeight="1" x14ac:dyDescent="0.3">
      <c r="A1" s="10" t="s">
        <v>36</v>
      </c>
      <c r="B1" s="10"/>
      <c r="C1" s="10"/>
      <c r="D1" s="10"/>
    </row>
    <row r="3" spans="1:4" ht="18" customHeight="1" x14ac:dyDescent="0.3">
      <c r="A3" s="12" t="s">
        <v>20</v>
      </c>
      <c r="B3" s="13" t="s">
        <v>67</v>
      </c>
    </row>
    <row r="4" spans="1:4" ht="18" customHeight="1" x14ac:dyDescent="0.3">
      <c r="A4" s="12" t="s">
        <v>21</v>
      </c>
      <c r="B4" s="14" t="s">
        <v>65</v>
      </c>
    </row>
    <row r="5" spans="1:4" ht="18" customHeight="1" x14ac:dyDescent="0.3">
      <c r="A5" s="12" t="s">
        <v>22</v>
      </c>
      <c r="B5" s="15" t="s">
        <v>66</v>
      </c>
    </row>
    <row r="6" spans="1:4" ht="18" customHeight="1" x14ac:dyDescent="0.3">
      <c r="A6" s="12" t="s">
        <v>23</v>
      </c>
      <c r="B6" s="16">
        <v>46097</v>
      </c>
    </row>
    <row r="7" spans="1:4" ht="18" customHeight="1" x14ac:dyDescent="0.3">
      <c r="A7" s="12" t="s">
        <v>24</v>
      </c>
      <c r="B7" s="14" t="s">
        <v>16</v>
      </c>
    </row>
    <row r="8" spans="1:4" ht="18" customHeight="1" x14ac:dyDescent="0.3">
      <c r="A8" s="12" t="s">
        <v>25</v>
      </c>
      <c r="B8" s="14" t="s">
        <v>12</v>
      </c>
    </row>
    <row r="9" spans="1:4" ht="18" customHeight="1" x14ac:dyDescent="0.3">
      <c r="A9" s="12" t="s">
        <v>26</v>
      </c>
      <c r="B9" s="14" t="s">
        <v>8</v>
      </c>
    </row>
  </sheetData>
  <sheetProtection algorithmName="SHA-512" hashValue="nFhAbdIBQCr5ZBwnCctSW8D4eQfntgUL++5LZSc6ADZ18TMcL73y2nHD+lrrB2wYXqjl0A9N00fL4VIEtTtrAA==" saltValue="Z5JmYrvEAMUxLO4uhL0HuA==" spinCount="100000" sheet="1" objects="1" scenarios="1"/>
  <mergeCells count="1">
    <mergeCell ref="A1:D1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4FD519-7B5C-4F24-A150-767C30133F37}">
          <x14:formula1>
            <xm:f>Config!$A$7:$A$8</xm:f>
          </x14:formula1>
          <xm:sqref>B9</xm:sqref>
        </x14:dataValidation>
        <x14:dataValidation type="list" allowBlank="1" showInputMessage="1" showErrorMessage="1" xr:uid="{9BD9C6E5-09E1-4574-AB57-6921268A1482}">
          <x14:formula1>
            <xm:f>Config!$D$7:$D$10</xm:f>
          </x14:formula1>
          <xm:sqref>B8</xm:sqref>
        </x14:dataValidation>
        <x14:dataValidation type="list" allowBlank="1" showInputMessage="1" showErrorMessage="1" xr:uid="{287D0B1D-6EA7-4E87-B634-CC536A9305AB}">
          <x14:formula1>
            <xm:f>Config!$G$7:$G$10</xm:f>
          </x14:formula1>
          <xm:sqref>B7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A61E9-6E9F-4878-A7A4-09B0B67AED22}">
  <dimension ref="A1:E13"/>
  <sheetViews>
    <sheetView showGridLines="0" zoomScale="110" zoomScaleNormal="110" workbookViewId="0">
      <pane ySplit="3" topLeftCell="A4" activePane="bottomLeft" state="frozen"/>
      <selection pane="bottomLeft" activeCell="B14" sqref="B14"/>
    </sheetView>
  </sheetViews>
  <sheetFormatPr defaultColWidth="12.77734375" defaultRowHeight="18" customHeight="1" x14ac:dyDescent="0.3"/>
  <cols>
    <col min="1" max="1" width="20" style="21" bestFit="1" customWidth="1"/>
    <col min="2" max="2" width="13.77734375" style="21" bestFit="1" customWidth="1"/>
    <col min="3" max="3" width="19.44140625" style="21" bestFit="1" customWidth="1"/>
    <col min="4" max="4" width="12.109375" style="21" bestFit="1" customWidth="1"/>
    <col min="5" max="5" width="20.109375" style="21" bestFit="1" customWidth="1"/>
    <col min="6" max="16384" width="12.77734375" style="21"/>
  </cols>
  <sheetData>
    <row r="1" spans="1:5" ht="34.049999999999997" customHeight="1" x14ac:dyDescent="0.3">
      <c r="A1" s="20" t="s">
        <v>37</v>
      </c>
      <c r="B1" s="20"/>
      <c r="C1" s="20"/>
      <c r="D1" s="20"/>
      <c r="E1" s="20"/>
    </row>
    <row r="2" spans="1:5" ht="18" customHeight="1" x14ac:dyDescent="0.3">
      <c r="A2" s="22" t="s">
        <v>38</v>
      </c>
    </row>
    <row r="3" spans="1:5" ht="18" customHeight="1" x14ac:dyDescent="0.3">
      <c r="A3" s="23" t="s">
        <v>39</v>
      </c>
      <c r="B3" s="24">
        <v>32</v>
      </c>
    </row>
    <row r="4" spans="1:5" ht="18" customHeight="1" x14ac:dyDescent="0.3">
      <c r="A4" s="23" t="s">
        <v>40</v>
      </c>
      <c r="B4" s="24" t="s">
        <v>73</v>
      </c>
    </row>
    <row r="5" spans="1:5" ht="18" customHeight="1" x14ac:dyDescent="0.3">
      <c r="A5" s="23" t="s">
        <v>41</v>
      </c>
      <c r="B5" s="24" t="s">
        <v>74</v>
      </c>
    </row>
    <row r="6" spans="1:5" ht="18" customHeight="1" x14ac:dyDescent="0.3">
      <c r="A6" s="23" t="s">
        <v>19</v>
      </c>
      <c r="B6" s="24" t="s">
        <v>75</v>
      </c>
    </row>
    <row r="7" spans="1:5" ht="18" customHeight="1" x14ac:dyDescent="0.3">
      <c r="A7" s="23" t="s">
        <v>42</v>
      </c>
      <c r="B7" s="25">
        <v>9</v>
      </c>
    </row>
    <row r="10" spans="1:5" ht="18" customHeight="1" x14ac:dyDescent="0.3">
      <c r="A10" s="23" t="s">
        <v>30</v>
      </c>
      <c r="B10" s="23" t="s">
        <v>43</v>
      </c>
      <c r="C10" s="23" t="s">
        <v>44</v>
      </c>
      <c r="D10" s="23" t="s">
        <v>19</v>
      </c>
      <c r="E10" s="23" t="s">
        <v>42</v>
      </c>
    </row>
    <row r="12" spans="1:5" ht="18" customHeight="1" x14ac:dyDescent="0.3">
      <c r="A12" s="21">
        <v>31</v>
      </c>
      <c r="B12" s="21" t="s">
        <v>62</v>
      </c>
      <c r="C12" s="21" t="s">
        <v>63</v>
      </c>
      <c r="D12" s="21" t="s">
        <v>64</v>
      </c>
      <c r="E12" s="21">
        <v>11</v>
      </c>
    </row>
    <row r="13" spans="1:5" ht="18" customHeight="1" x14ac:dyDescent="0.3">
      <c r="A13" s="21">
        <v>32</v>
      </c>
      <c r="B13" s="21" t="s">
        <v>73</v>
      </c>
      <c r="C13" s="21" t="s">
        <v>74</v>
      </c>
      <c r="D13" s="21" t="s">
        <v>75</v>
      </c>
      <c r="E13" s="21">
        <v>9</v>
      </c>
    </row>
  </sheetData>
  <sheetProtection algorithmName="SHA-512" hashValue="sj4yZqxS9H8Q+FXIlNUFKAwqb66/BhE3Fg45YXrXGwx0YazWfiocLtg8GNpyi8dN6aMWdtad+F3s9PIH9MOFlg==" saltValue="Ll4siQf47F4ZnnzH5u3bJQ==" spinCount="100000" sheet="1" objects="1" scenarios="1" autoFilter="0"/>
  <mergeCells count="1">
    <mergeCell ref="A1:E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8625B-6B2F-422C-A989-390E77DCB2ED}">
  <dimension ref="A1:D10"/>
  <sheetViews>
    <sheetView showGridLines="0" tabSelected="1" zoomScale="110" zoomScaleNormal="110" workbookViewId="0">
      <pane ySplit="3" topLeftCell="A4" activePane="bottomLeft" state="frozen"/>
      <selection pane="bottomLeft" activeCell="M7" sqref="M7"/>
    </sheetView>
  </sheetViews>
  <sheetFormatPr defaultColWidth="12.77734375" defaultRowHeight="18" customHeight="1" x14ac:dyDescent="0.3"/>
  <cols>
    <col min="1" max="16384" width="12.77734375" style="11"/>
  </cols>
  <sheetData>
    <row r="1" spans="1:4" ht="34.049999999999997" customHeight="1" x14ac:dyDescent="0.3">
      <c r="A1" s="10" t="s">
        <v>45</v>
      </c>
      <c r="B1" s="10"/>
      <c r="C1" s="10"/>
      <c r="D1" s="10"/>
    </row>
    <row r="3" spans="1:4" ht="18" customHeight="1" x14ac:dyDescent="0.3">
      <c r="A3" s="12" t="s">
        <v>46</v>
      </c>
      <c r="B3" s="14" t="s">
        <v>67</v>
      </c>
    </row>
    <row r="4" spans="1:4" ht="18" customHeight="1" x14ac:dyDescent="0.3">
      <c r="A4" s="12" t="s">
        <v>47</v>
      </c>
      <c r="B4" s="14">
        <v>32</v>
      </c>
    </row>
    <row r="5" spans="1:4" ht="18" customHeight="1" x14ac:dyDescent="0.3">
      <c r="A5" s="12" t="s">
        <v>31</v>
      </c>
      <c r="B5" s="16">
        <v>46109</v>
      </c>
    </row>
    <row r="6" spans="1:4" ht="18" customHeight="1" x14ac:dyDescent="0.3">
      <c r="A6" s="12" t="s">
        <v>32</v>
      </c>
      <c r="B6" s="16">
        <v>46109</v>
      </c>
    </row>
    <row r="7" spans="1:4" ht="60" customHeight="1" x14ac:dyDescent="0.3">
      <c r="A7" s="12" t="s">
        <v>33</v>
      </c>
      <c r="B7" s="26" t="s">
        <v>76</v>
      </c>
    </row>
    <row r="8" spans="1:4" ht="18" customHeight="1" x14ac:dyDescent="0.3">
      <c r="A8" s="12"/>
    </row>
    <row r="9" spans="1:4" ht="18" customHeight="1" x14ac:dyDescent="0.3">
      <c r="A9" s="12" t="s">
        <v>48</v>
      </c>
      <c r="B9" s="14" t="s">
        <v>61</v>
      </c>
    </row>
    <row r="10" spans="1:4" ht="18" customHeight="1" x14ac:dyDescent="0.3">
      <c r="A10" s="12" t="s">
        <v>49</v>
      </c>
      <c r="B10" s="14"/>
    </row>
  </sheetData>
  <sheetProtection algorithmName="SHA-512" hashValue="RNBF38g0kVa+4rRl73VYnKRcVdp8r/4XUESqlrFlw4YyzzuLEJsPtI9PC5OA3nR5qQufAHJwTXQYqm/dkjxNhA==" saltValue="YBl7C89Zba1uEIWDq5TBLA==" spinCount="100000" sheet="1" objects="1" scenarios="1"/>
  <mergeCells count="1">
    <mergeCell ref="A1:D1"/>
  </mergeCells>
  <dataValidations count="3">
    <dataValidation type="list" allowBlank="1" showInputMessage="1" showErrorMessage="1" sqref="B3" xr:uid="{A5A8B2FC-63E1-4E22-8CFF-4CFE58481194}">
      <formula1>nmFuncIds</formula1>
    </dataValidation>
    <dataValidation type="list" allowBlank="1" showInputMessage="1" showErrorMessage="1" sqref="B4" xr:uid="{F20E2148-8CA3-4481-BF73-85C642DEA923}">
      <formula1>nmRegioesCod</formula1>
    </dataValidation>
    <dataValidation type="list" allowBlank="1" showInputMessage="1" showErrorMessage="1" sqref="B9" xr:uid="{46266345-3683-43AB-AADD-07AE4D1FCA77}">
      <formula1>"SIM,NAO"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23628-0713-4A3A-9F42-C36E65D7AF87}">
  <dimension ref="A1:I10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21.88671875" style="21" bestFit="1" customWidth="1"/>
    <col min="2" max="2" width="14.88671875" style="21" bestFit="1" customWidth="1"/>
    <col min="3" max="3" width="16.5546875" style="21" bestFit="1" customWidth="1"/>
    <col min="4" max="4" width="6.5546875" style="21" bestFit="1" customWidth="1"/>
    <col min="5" max="5" width="14.5546875" style="21" bestFit="1" customWidth="1"/>
    <col min="6" max="6" width="13.77734375" style="21" bestFit="1" customWidth="1"/>
    <col min="7" max="7" width="11.77734375" style="21" bestFit="1" customWidth="1"/>
    <col min="8" max="8" width="10.33203125" style="21" bestFit="1" customWidth="1"/>
    <col min="9" max="9" width="14" style="21" bestFit="1" customWidth="1"/>
    <col min="10" max="16384" width="12.77734375" style="21"/>
  </cols>
  <sheetData>
    <row r="1" spans="1:9" ht="34.049999999999997" customHeight="1" x14ac:dyDescent="0.3">
      <c r="A1" s="20" t="s">
        <v>50</v>
      </c>
      <c r="B1" s="20"/>
      <c r="C1" s="20"/>
      <c r="D1" s="20"/>
      <c r="E1" s="20"/>
      <c r="F1" s="20"/>
    </row>
    <row r="3" spans="1:9" ht="18" customHeight="1" x14ac:dyDescent="0.3">
      <c r="A3" s="23" t="s">
        <v>51</v>
      </c>
      <c r="B3" s="24"/>
    </row>
    <row r="4" spans="1:9" ht="18" customHeight="1" x14ac:dyDescent="0.3">
      <c r="A4" s="23" t="s">
        <v>52</v>
      </c>
      <c r="B4" s="24"/>
    </row>
    <row r="5" spans="1:9" ht="18" customHeight="1" x14ac:dyDescent="0.3">
      <c r="A5" s="23" t="s">
        <v>53</v>
      </c>
      <c r="B5" s="27"/>
    </row>
    <row r="6" spans="1:9" ht="18" customHeight="1" x14ac:dyDescent="0.3">
      <c r="A6" s="23" t="s">
        <v>54</v>
      </c>
      <c r="B6" s="27"/>
    </row>
    <row r="10" spans="1:9" ht="18" customHeight="1" x14ac:dyDescent="0.3">
      <c r="A10" s="23" t="s">
        <v>29</v>
      </c>
      <c r="B10" s="23" t="s">
        <v>20</v>
      </c>
      <c r="C10" s="23" t="s">
        <v>21</v>
      </c>
      <c r="D10" s="23" t="s">
        <v>22</v>
      </c>
      <c r="E10" s="23" t="s">
        <v>30</v>
      </c>
      <c r="F10" s="23" t="s">
        <v>43</v>
      </c>
      <c r="G10" s="23" t="s">
        <v>31</v>
      </c>
      <c r="H10" s="23" t="s">
        <v>32</v>
      </c>
      <c r="I10" s="23" t="s">
        <v>33</v>
      </c>
    </row>
  </sheetData>
  <sheetProtection algorithmName="SHA-512" hashValue="I6FuRYWHq551akzhnVvNmaW5Nj/taeuuoUxEWHcB1wMqt6RQ6j6II8HBQtcXpb8D56NmPB93w48l/WVQJ4+L8Q==" saltValue="Rtw1KiqY1+HcMv/D/wf64g==" spinCount="100000" sheet="1" objects="1" scenarios="1" autoFilter="0"/>
  <mergeCells count="1">
    <mergeCell ref="A1:F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2689E-0BFA-4C4F-A19D-8AD6F60EE533}">
  <dimension ref="A1:K21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24.44140625" style="17" bestFit="1" customWidth="1"/>
    <col min="2" max="2" width="13.77734375" style="17" bestFit="1" customWidth="1"/>
    <col min="3" max="3" width="20.109375" style="17" bestFit="1" customWidth="1"/>
    <col min="4" max="4" width="14.77734375" style="17" bestFit="1" customWidth="1"/>
    <col min="5" max="5" width="15.5546875" style="17" bestFit="1" customWidth="1"/>
    <col min="6" max="7" width="12.77734375" style="17"/>
    <col min="8" max="8" width="14.88671875" style="17" bestFit="1" customWidth="1"/>
    <col min="9" max="9" width="14.5546875" style="17" bestFit="1" customWidth="1"/>
    <col min="10" max="10" width="11.77734375" style="17" bestFit="1" customWidth="1"/>
    <col min="11" max="11" width="10.33203125" style="17" bestFit="1" customWidth="1"/>
    <col min="12" max="16384" width="12.77734375" style="17"/>
  </cols>
  <sheetData>
    <row r="1" spans="1:9" ht="34.049999999999997" customHeight="1" x14ac:dyDescent="0.3">
      <c r="A1" s="18" t="s">
        <v>55</v>
      </c>
      <c r="B1" s="18"/>
      <c r="C1" s="18"/>
      <c r="D1" s="18"/>
      <c r="E1" s="18"/>
      <c r="F1" s="18"/>
    </row>
    <row r="3" spans="1:9" ht="18" customHeight="1" x14ac:dyDescent="0.3">
      <c r="A3" s="19" t="s">
        <v>56</v>
      </c>
      <c r="H3" s="38" t="s">
        <v>30</v>
      </c>
      <c r="I3" t="s">
        <v>72</v>
      </c>
    </row>
    <row r="4" spans="1:9" ht="18" customHeight="1" x14ac:dyDescent="0.3">
      <c r="H4">
        <v>31</v>
      </c>
      <c r="I4" s="1">
        <v>1</v>
      </c>
    </row>
    <row r="5" spans="1:9" ht="18" customHeight="1" x14ac:dyDescent="0.3">
      <c r="A5" s="17" t="s">
        <v>57</v>
      </c>
      <c r="B5" s="28">
        <v>0</v>
      </c>
      <c r="H5" t="s">
        <v>71</v>
      </c>
      <c r="I5" s="1">
        <v>1</v>
      </c>
    </row>
    <row r="6" spans="1:9" ht="18" customHeight="1" x14ac:dyDescent="0.3">
      <c r="A6" s="17" t="s">
        <v>58</v>
      </c>
      <c r="B6" s="28">
        <v>0</v>
      </c>
    </row>
    <row r="9" spans="1:9" ht="18" customHeight="1" x14ac:dyDescent="0.3">
      <c r="A9" s="19" t="s">
        <v>30</v>
      </c>
      <c r="B9" s="19" t="s">
        <v>43</v>
      </c>
      <c r="C9" s="19" t="s">
        <v>42</v>
      </c>
      <c r="D9" s="19" t="s">
        <v>59</v>
      </c>
      <c r="E9" s="19" t="s">
        <v>60</v>
      </c>
    </row>
    <row r="10" spans="1:9" ht="18" customHeight="1" x14ac:dyDescent="0.3">
      <c r="A10" s="19"/>
      <c r="B10" s="19"/>
      <c r="C10" s="30">
        <v>0</v>
      </c>
      <c r="D10" s="30">
        <v>0</v>
      </c>
      <c r="E10" s="29">
        <v>0</v>
      </c>
    </row>
    <row r="11" spans="1:9" ht="18" customHeight="1" x14ac:dyDescent="0.3">
      <c r="A11" s="19">
        <v>31</v>
      </c>
      <c r="B11" s="19" t="s">
        <v>62</v>
      </c>
      <c r="C11" s="30">
        <v>11</v>
      </c>
      <c r="D11" s="30">
        <v>1</v>
      </c>
      <c r="E11" s="29">
        <v>9.0909090909090912E-2</v>
      </c>
    </row>
    <row r="12" spans="1:9" ht="18" customHeight="1" x14ac:dyDescent="0.3">
      <c r="A12" s="19">
        <v>32</v>
      </c>
      <c r="B12" s="19" t="s">
        <v>73</v>
      </c>
      <c r="C12" s="30">
        <v>9</v>
      </c>
      <c r="D12" s="30">
        <v>0</v>
      </c>
      <c r="E12" s="29">
        <v>0</v>
      </c>
    </row>
    <row r="20" spans="8:11" ht="18" customHeight="1" thickBot="1" x14ac:dyDescent="0.35">
      <c r="H20" s="31" t="s">
        <v>20</v>
      </c>
      <c r="I20" s="32" t="s">
        <v>30</v>
      </c>
      <c r="J20" s="32" t="s">
        <v>31</v>
      </c>
      <c r="K20" s="32" t="s">
        <v>32</v>
      </c>
    </row>
    <row r="21" spans="8:11" ht="18" customHeight="1" thickTop="1" x14ac:dyDescent="0.3">
      <c r="H21" s="33" t="s">
        <v>67</v>
      </c>
      <c r="I21" s="34">
        <v>31</v>
      </c>
      <c r="J21" s="37">
        <v>46101</v>
      </c>
      <c r="K21" s="37">
        <v>46558</v>
      </c>
    </row>
  </sheetData>
  <sheetProtection algorithmName="SHA-512" hashValue="0I2N/A2ltQ90cnEXkf3oNl0lXJA68bOeenHr+nOqnAMOljQru6XUl4p3CqbWSPBcgaXwhqQHl4FJepSkAdgjyw==" saltValue="+F6iMH5CdOY3yd4JBV59zQ==" spinCount="100000" sheet="1" objects="1" scenarios="1" autoFilter="0"/>
  <mergeCells count="1">
    <mergeCell ref="A1:F1"/>
  </mergeCells>
  <pageMargins left="0.511811024" right="0.511811024" top="0.78740157499999996" bottom="0.78740157499999996" header="0.31496062000000002" footer="0.31496062000000002"/>
  <drawing r:id="rId2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B027C-7372-4667-BBEF-592CCCB66D23}">
  <dimension ref="A1"/>
  <sheetViews>
    <sheetView workbookViewId="0"/>
  </sheetViews>
  <sheetFormatPr defaultRowHeight="14.4" x14ac:dyDescent="0.3"/>
  <cols>
    <col min="1" max="16384" width="8.88671875" style="2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Planilha1</vt:lpstr>
      <vt:lpstr>Config</vt:lpstr>
      <vt:lpstr>Funcionarios</vt:lpstr>
      <vt:lpstr>Alocacoes</vt:lpstr>
      <vt:lpstr>Cadastro</vt:lpstr>
      <vt:lpstr>Regioes</vt:lpstr>
      <vt:lpstr>Alocacao</vt:lpstr>
      <vt:lpstr>Consulta</vt:lpstr>
      <vt:lpstr>Dashboard</vt:lpstr>
      <vt:lpstr>nmFuncIds</vt:lpstr>
      <vt:lpstr>nmRegioesCod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buloke.frota03@outlook.com.br</dc:creator>
  <cp:lastModifiedBy>buloke.frota03@outlook.com.br</cp:lastModifiedBy>
  <dcterms:created xsi:type="dcterms:W3CDTF">2026-03-28T16:37:20Z</dcterms:created>
  <dcterms:modified xsi:type="dcterms:W3CDTF">2026-03-28T16:46:47Z</dcterms:modified>
</cp:coreProperties>
</file>